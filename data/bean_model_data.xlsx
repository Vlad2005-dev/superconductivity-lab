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adimirsheydorov/Desktop/Experimental Physics 3/Superconductivity/data/"/>
    </mc:Choice>
  </mc:AlternateContent>
  <xr:revisionPtr revIDLastSave="0" documentId="13_ncr:1_{D44CF6B4-221E-0648-A75E-CEC972FA50BE}" xr6:coauthVersionLast="47" xr6:coauthVersionMax="47" xr10:uidLastSave="{00000000-0000-0000-0000-000000000000}"/>
  <bookViews>
    <workbookView xWindow="0" yWindow="720" windowWidth="29400" windowHeight="18400" xr2:uid="{3BAB8D0C-B262-064D-97DC-712073A83A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3" i="1"/>
  <c r="J13" i="1"/>
  <c r="J14" i="1"/>
  <c r="J15" i="1"/>
  <c r="J4" i="1"/>
  <c r="J5" i="1"/>
  <c r="J6" i="1"/>
  <c r="J7" i="1"/>
  <c r="J8" i="1"/>
  <c r="J9" i="1"/>
  <c r="J10" i="1"/>
  <c r="J11" i="1"/>
  <c r="J12" i="1"/>
  <c r="J3" i="1"/>
</calcChain>
</file>

<file path=xl/sharedStrings.xml><?xml version="1.0" encoding="utf-8"?>
<sst xmlns="http://schemas.openxmlformats.org/spreadsheetml/2006/main" count="19" uniqueCount="8">
  <si>
    <t>Decreasing distance</t>
  </si>
  <si>
    <t>Increasing distance</t>
  </si>
  <si>
    <t>z (±0,5mm)</t>
  </si>
  <si>
    <t>m (±0,01g)</t>
  </si>
  <si>
    <t>Magnetic field</t>
  </si>
  <si>
    <t>B (mT)</t>
  </si>
  <si>
    <t>uncertainty (mT)</t>
  </si>
  <si>
    <t>z (±0,2cm)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</si>
</sst>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37AE-3D80-4148-84D9-D1A2D18C51A4}">
  <dimension ref="E1:W26"/>
  <sheetViews>
    <sheetView tabSelected="1" topLeftCell="K1" zoomScale="108" workbookViewId="0">
      <selection activeCell="U3" sqref="U3"/>
    </sheetView>
  </sheetViews>
  <sheetFormatPr baseColWidth="10" defaultRowHeight="16" x14ac:dyDescent="0.2"/>
  <cols>
    <col min="1" max="1" width="20.6640625" customWidth="1"/>
    <col min="4" max="4" width="17.33203125" customWidth="1"/>
  </cols>
  <sheetData>
    <row r="1" spans="5:23" x14ac:dyDescent="0.2">
      <c r="E1" t="s">
        <v>0</v>
      </c>
      <c r="H1" t="s">
        <v>1</v>
      </c>
      <c r="M1" t="s">
        <v>0</v>
      </c>
      <c r="Q1" t="s">
        <v>1</v>
      </c>
      <c r="U1" t="s">
        <v>4</v>
      </c>
    </row>
    <row r="2" spans="5:23" x14ac:dyDescent="0.2">
      <c r="E2" t="s">
        <v>2</v>
      </c>
      <c r="F2" t="s">
        <v>3</v>
      </c>
      <c r="H2" t="s">
        <v>2</v>
      </c>
      <c r="I2" t="s">
        <v>3</v>
      </c>
      <c r="J2" t="s">
        <v>3</v>
      </c>
      <c r="M2" t="s">
        <v>2</v>
      </c>
      <c r="N2" t="s">
        <v>3</v>
      </c>
      <c r="O2" t="s">
        <v>3</v>
      </c>
      <c r="Q2" t="s">
        <v>2</v>
      </c>
      <c r="R2" t="s">
        <v>3</v>
      </c>
      <c r="S2" t="s">
        <v>3</v>
      </c>
      <c r="U2" t="s">
        <v>7</v>
      </c>
      <c r="V2" t="s">
        <v>5</v>
      </c>
      <c r="W2" t="s">
        <v>6</v>
      </c>
    </row>
    <row r="3" spans="5:23" x14ac:dyDescent="0.2">
      <c r="E3">
        <v>19</v>
      </c>
      <c r="F3">
        <v>0.01</v>
      </c>
      <c r="H3">
        <v>6</v>
      </c>
      <c r="I3">
        <v>0.42</v>
      </c>
      <c r="J3">
        <f>-$I$15+I3</f>
        <v>0.55000000000000004</v>
      </c>
      <c r="M3">
        <v>26</v>
      </c>
      <c r="N3">
        <v>7.62</v>
      </c>
      <c r="O3">
        <f>N3-7.58</f>
        <v>4.0000000000000036E-2</v>
      </c>
      <c r="Q3">
        <v>5</v>
      </c>
      <c r="R3">
        <v>8</v>
      </c>
      <c r="S3">
        <f>R3-7.58</f>
        <v>0.41999999999999993</v>
      </c>
      <c r="U3">
        <v>0.5</v>
      </c>
      <c r="V3">
        <v>83.7</v>
      </c>
      <c r="W3">
        <v>0.1</v>
      </c>
    </row>
    <row r="4" spans="5:23" x14ac:dyDescent="0.2">
      <c r="E4">
        <v>17</v>
      </c>
      <c r="F4">
        <v>0.04</v>
      </c>
      <c r="H4">
        <v>7</v>
      </c>
      <c r="I4">
        <v>0.15</v>
      </c>
      <c r="J4">
        <f>-$I$15+I4</f>
        <v>0.28000000000000003</v>
      </c>
      <c r="M4">
        <v>25</v>
      </c>
      <c r="N4">
        <v>7.62</v>
      </c>
      <c r="O4">
        <f t="shared" ref="O4:O25" si="0">N4-7.58</f>
        <v>4.0000000000000036E-2</v>
      </c>
      <c r="Q4">
        <v>6</v>
      </c>
      <c r="R4">
        <v>7.83</v>
      </c>
      <c r="S4">
        <f t="shared" ref="S4:S26" si="1">R4-7.58</f>
        <v>0.25</v>
      </c>
      <c r="U4">
        <v>1</v>
      </c>
      <c r="V4">
        <v>30.3</v>
      </c>
      <c r="W4">
        <v>0.1</v>
      </c>
    </row>
    <row r="5" spans="5:23" x14ac:dyDescent="0.2">
      <c r="E5">
        <v>16</v>
      </c>
      <c r="F5">
        <v>0.09</v>
      </c>
      <c r="H5">
        <v>8</v>
      </c>
      <c r="I5">
        <v>0.03</v>
      </c>
      <c r="J5">
        <f>-$I$15+I5</f>
        <v>0.16</v>
      </c>
      <c r="M5">
        <v>24</v>
      </c>
      <c r="N5">
        <v>7.63</v>
      </c>
      <c r="O5">
        <f t="shared" si="0"/>
        <v>4.9999999999999822E-2</v>
      </c>
      <c r="Q5">
        <v>7</v>
      </c>
      <c r="R5">
        <v>7.75</v>
      </c>
      <c r="S5">
        <f t="shared" si="1"/>
        <v>0.16999999999999993</v>
      </c>
      <c r="U5">
        <v>1.5</v>
      </c>
      <c r="V5">
        <v>15.51</v>
      </c>
      <c r="W5">
        <v>0.01</v>
      </c>
    </row>
    <row r="6" spans="5:23" x14ac:dyDescent="0.2">
      <c r="E6">
        <v>15</v>
      </c>
      <c r="F6">
        <v>0.11</v>
      </c>
      <c r="H6">
        <v>9</v>
      </c>
      <c r="I6">
        <v>-0.02</v>
      </c>
      <c r="J6">
        <f>-$I$15+I6</f>
        <v>0.11</v>
      </c>
      <c r="M6">
        <v>23</v>
      </c>
      <c r="N6">
        <v>7.65</v>
      </c>
      <c r="O6">
        <f t="shared" si="0"/>
        <v>7.0000000000000284E-2</v>
      </c>
      <c r="Q6">
        <v>8</v>
      </c>
      <c r="R6">
        <v>7.67</v>
      </c>
      <c r="S6">
        <f t="shared" si="1"/>
        <v>8.9999999999999858E-2</v>
      </c>
      <c r="U6">
        <v>2</v>
      </c>
      <c r="V6">
        <v>8.01</v>
      </c>
      <c r="W6">
        <v>0.01</v>
      </c>
    </row>
    <row r="7" spans="5:23" x14ac:dyDescent="0.2">
      <c r="E7">
        <v>14</v>
      </c>
      <c r="F7">
        <v>0.14000000000000001</v>
      </c>
      <c r="H7">
        <v>10</v>
      </c>
      <c r="I7">
        <v>-7.0000000000000007E-2</v>
      </c>
      <c r="J7">
        <f>-$I$15+I7</f>
        <v>0.06</v>
      </c>
      <c r="M7">
        <v>22</v>
      </c>
      <c r="N7">
        <v>7.66</v>
      </c>
      <c r="O7">
        <f t="shared" si="0"/>
        <v>8.0000000000000071E-2</v>
      </c>
      <c r="Q7">
        <v>9</v>
      </c>
      <c r="R7">
        <v>7.61</v>
      </c>
      <c r="S7">
        <f t="shared" si="1"/>
        <v>3.0000000000000249E-2</v>
      </c>
      <c r="U7">
        <v>2.5</v>
      </c>
      <c r="V7">
        <v>4.55</v>
      </c>
      <c r="W7">
        <v>0.01</v>
      </c>
    </row>
    <row r="8" spans="5:23" x14ac:dyDescent="0.2">
      <c r="E8">
        <v>13</v>
      </c>
      <c r="F8">
        <v>0.2</v>
      </c>
      <c r="H8">
        <v>11</v>
      </c>
      <c r="I8">
        <v>-0.12</v>
      </c>
      <c r="J8">
        <f>-$I$15+I8</f>
        <v>1.0000000000000009E-2</v>
      </c>
      <c r="M8">
        <v>21</v>
      </c>
      <c r="N8">
        <v>7.68</v>
      </c>
      <c r="O8">
        <f t="shared" si="0"/>
        <v>9.9999999999999645E-2</v>
      </c>
      <c r="Q8">
        <v>10</v>
      </c>
      <c r="R8">
        <v>7.57</v>
      </c>
      <c r="S8">
        <f t="shared" si="1"/>
        <v>-9.9999999999997868E-3</v>
      </c>
      <c r="U8">
        <v>3</v>
      </c>
      <c r="V8">
        <v>2.72</v>
      </c>
      <c r="W8">
        <v>0.01</v>
      </c>
    </row>
    <row r="9" spans="5:23" x14ac:dyDescent="0.2">
      <c r="E9">
        <v>12</v>
      </c>
      <c r="F9">
        <v>0.26</v>
      </c>
      <c r="H9">
        <v>12</v>
      </c>
      <c r="I9">
        <v>-0.14000000000000001</v>
      </c>
      <c r="J9">
        <f>-$I$15+I9</f>
        <v>-1.0000000000000009E-2</v>
      </c>
      <c r="M9">
        <v>20</v>
      </c>
      <c r="N9">
        <v>7.69</v>
      </c>
      <c r="O9">
        <f t="shared" si="0"/>
        <v>0.11000000000000032</v>
      </c>
      <c r="Q9">
        <v>11</v>
      </c>
      <c r="R9">
        <v>7.56</v>
      </c>
      <c r="S9">
        <f t="shared" si="1"/>
        <v>-2.0000000000000462E-2</v>
      </c>
      <c r="U9">
        <v>3.5</v>
      </c>
      <c r="V9">
        <v>2.1139999999999999</v>
      </c>
      <c r="W9">
        <v>1E-3</v>
      </c>
    </row>
    <row r="10" spans="5:23" x14ac:dyDescent="0.2">
      <c r="E10">
        <v>11</v>
      </c>
      <c r="F10">
        <v>0.33</v>
      </c>
      <c r="H10">
        <v>13</v>
      </c>
      <c r="I10">
        <v>-0.14000000000000001</v>
      </c>
      <c r="J10">
        <f>-$I$15+I10</f>
        <v>-1.0000000000000009E-2</v>
      </c>
      <c r="M10">
        <v>19</v>
      </c>
      <c r="N10">
        <v>7.71</v>
      </c>
      <c r="O10">
        <f t="shared" si="0"/>
        <v>0.12999999999999989</v>
      </c>
      <c r="Q10">
        <v>12</v>
      </c>
      <c r="R10">
        <v>7.56</v>
      </c>
      <c r="S10">
        <f t="shared" si="1"/>
        <v>-2.0000000000000462E-2</v>
      </c>
      <c r="U10">
        <v>4</v>
      </c>
      <c r="V10">
        <v>1.4810000000000001</v>
      </c>
      <c r="W10">
        <v>1E-3</v>
      </c>
    </row>
    <row r="11" spans="5:23" x14ac:dyDescent="0.2">
      <c r="E11">
        <v>10</v>
      </c>
      <c r="F11">
        <v>0.39</v>
      </c>
      <c r="H11">
        <v>14</v>
      </c>
      <c r="I11">
        <v>-0.16</v>
      </c>
      <c r="J11">
        <f>-$I$15+I11</f>
        <v>-0.03</v>
      </c>
      <c r="M11">
        <v>18</v>
      </c>
      <c r="N11">
        <v>7.73</v>
      </c>
      <c r="O11">
        <f t="shared" si="0"/>
        <v>0.15000000000000036</v>
      </c>
      <c r="Q11">
        <v>13</v>
      </c>
      <c r="R11">
        <v>7.56</v>
      </c>
      <c r="S11">
        <f t="shared" si="1"/>
        <v>-2.0000000000000462E-2</v>
      </c>
      <c r="U11">
        <v>5</v>
      </c>
      <c r="V11">
        <v>0.92400000000000004</v>
      </c>
      <c r="W11">
        <v>1E-3</v>
      </c>
    </row>
    <row r="12" spans="5:23" x14ac:dyDescent="0.2">
      <c r="E12">
        <v>9</v>
      </c>
      <c r="F12">
        <v>0.47</v>
      </c>
      <c r="H12">
        <v>15</v>
      </c>
      <c r="I12">
        <v>-0.16</v>
      </c>
      <c r="J12">
        <f>-$I$15+I12</f>
        <v>-0.03</v>
      </c>
      <c r="M12">
        <v>17</v>
      </c>
      <c r="N12">
        <v>7.76</v>
      </c>
      <c r="O12">
        <f t="shared" si="0"/>
        <v>0.17999999999999972</v>
      </c>
      <c r="Q12">
        <v>14</v>
      </c>
      <c r="R12">
        <v>7.55</v>
      </c>
      <c r="S12">
        <f t="shared" si="1"/>
        <v>-3.0000000000000249E-2</v>
      </c>
      <c r="U12">
        <v>6</v>
      </c>
      <c r="V12">
        <v>0.64900000000000002</v>
      </c>
      <c r="W12">
        <v>1E-3</v>
      </c>
    </row>
    <row r="13" spans="5:23" x14ac:dyDescent="0.2">
      <c r="E13">
        <v>8</v>
      </c>
      <c r="F13">
        <v>0.59</v>
      </c>
      <c r="H13">
        <v>20</v>
      </c>
      <c r="I13">
        <v>-0.16</v>
      </c>
      <c r="J13">
        <f>-$I$15+I13</f>
        <v>-0.03</v>
      </c>
      <c r="M13">
        <v>16</v>
      </c>
      <c r="N13">
        <v>7.79</v>
      </c>
      <c r="O13">
        <f t="shared" si="0"/>
        <v>0.20999999999999996</v>
      </c>
      <c r="Q13">
        <v>15</v>
      </c>
      <c r="R13">
        <v>7.54</v>
      </c>
      <c r="S13">
        <f t="shared" si="1"/>
        <v>-4.0000000000000036E-2</v>
      </c>
      <c r="U13">
        <v>7</v>
      </c>
      <c r="V13">
        <v>0.505</v>
      </c>
      <c r="W13">
        <v>1E-3</v>
      </c>
    </row>
    <row r="14" spans="5:23" x14ac:dyDescent="0.2">
      <c r="E14">
        <v>7</v>
      </c>
      <c r="F14">
        <v>0.64</v>
      </c>
      <c r="H14">
        <v>60</v>
      </c>
      <c r="I14">
        <v>-0.14000000000000001</v>
      </c>
      <c r="J14">
        <f>-$I$15+I14</f>
        <v>-1.0000000000000009E-2</v>
      </c>
      <c r="M14">
        <v>15</v>
      </c>
      <c r="N14">
        <v>7.84</v>
      </c>
      <c r="O14">
        <f t="shared" si="0"/>
        <v>0.25999999999999979</v>
      </c>
      <c r="Q14">
        <v>16</v>
      </c>
      <c r="R14">
        <v>7.53</v>
      </c>
      <c r="S14">
        <f t="shared" si="1"/>
        <v>-4.9999999999999822E-2</v>
      </c>
      <c r="U14">
        <v>8</v>
      </c>
      <c r="V14">
        <v>0.434</v>
      </c>
      <c r="W14">
        <v>1E-3</v>
      </c>
    </row>
    <row r="15" spans="5:23" x14ac:dyDescent="0.2">
      <c r="E15">
        <v>6</v>
      </c>
      <c r="F15">
        <v>0.8</v>
      </c>
      <c r="H15">
        <v>100</v>
      </c>
      <c r="I15">
        <v>-0.13</v>
      </c>
      <c r="J15">
        <f>-$I$15+I15</f>
        <v>0</v>
      </c>
      <c r="M15">
        <v>14</v>
      </c>
      <c r="N15">
        <v>7.88</v>
      </c>
      <c r="O15">
        <f t="shared" si="0"/>
        <v>0.29999999999999982</v>
      </c>
      <c r="Q15">
        <v>19</v>
      </c>
      <c r="R15">
        <v>7.52</v>
      </c>
      <c r="S15">
        <f t="shared" si="1"/>
        <v>-6.0000000000000497E-2</v>
      </c>
      <c r="U15">
        <v>9</v>
      </c>
      <c r="V15">
        <v>0.38</v>
      </c>
      <c r="W15">
        <v>1E-3</v>
      </c>
    </row>
    <row r="16" spans="5:23" x14ac:dyDescent="0.2">
      <c r="E16">
        <v>5</v>
      </c>
      <c r="F16">
        <v>0.94</v>
      </c>
      <c r="M16">
        <v>13</v>
      </c>
      <c r="N16">
        <v>7.93</v>
      </c>
      <c r="O16">
        <f t="shared" si="0"/>
        <v>0.34999999999999964</v>
      </c>
      <c r="Q16">
        <v>25</v>
      </c>
      <c r="R16">
        <v>7.55</v>
      </c>
      <c r="S16">
        <f t="shared" si="1"/>
        <v>-3.0000000000000249E-2</v>
      </c>
      <c r="U16">
        <v>10</v>
      </c>
      <c r="V16">
        <v>0.35299999999999998</v>
      </c>
      <c r="W16">
        <v>1E-3</v>
      </c>
    </row>
    <row r="17" spans="13:23" x14ac:dyDescent="0.2">
      <c r="M17">
        <v>12</v>
      </c>
      <c r="N17">
        <v>7.96</v>
      </c>
      <c r="O17">
        <f t="shared" si="0"/>
        <v>0.37999999999999989</v>
      </c>
      <c r="Q17">
        <v>30</v>
      </c>
      <c r="R17">
        <v>7.54</v>
      </c>
      <c r="S17">
        <f t="shared" si="1"/>
        <v>-4.0000000000000036E-2</v>
      </c>
      <c r="U17">
        <v>11</v>
      </c>
      <c r="V17">
        <v>0.33600000000000002</v>
      </c>
      <c r="W17">
        <v>1E-3</v>
      </c>
    </row>
    <row r="18" spans="13:23" x14ac:dyDescent="0.2">
      <c r="M18">
        <v>11</v>
      </c>
      <c r="N18">
        <v>8.06</v>
      </c>
      <c r="O18">
        <f t="shared" si="0"/>
        <v>0.48000000000000043</v>
      </c>
      <c r="Q18">
        <v>35</v>
      </c>
      <c r="R18">
        <v>7.54</v>
      </c>
      <c r="S18">
        <f t="shared" si="1"/>
        <v>-4.0000000000000036E-2</v>
      </c>
      <c r="U18">
        <v>12</v>
      </c>
      <c r="V18">
        <v>0.311</v>
      </c>
      <c r="W18">
        <v>1E-3</v>
      </c>
    </row>
    <row r="19" spans="13:23" x14ac:dyDescent="0.2">
      <c r="M19">
        <v>10</v>
      </c>
      <c r="N19">
        <v>8.1199999999999992</v>
      </c>
      <c r="O19">
        <f t="shared" si="0"/>
        <v>0.53999999999999915</v>
      </c>
      <c r="Q19">
        <v>40</v>
      </c>
      <c r="R19">
        <v>7.55</v>
      </c>
      <c r="S19">
        <f t="shared" si="1"/>
        <v>-3.0000000000000249E-2</v>
      </c>
      <c r="U19">
        <v>13</v>
      </c>
      <c r="V19">
        <v>0.314</v>
      </c>
      <c r="W19">
        <v>1E-3</v>
      </c>
    </row>
    <row r="20" spans="13:23" x14ac:dyDescent="0.2">
      <c r="M20">
        <v>9</v>
      </c>
      <c r="N20">
        <v>8.24</v>
      </c>
      <c r="O20">
        <f t="shared" si="0"/>
        <v>0.66000000000000014</v>
      </c>
      <c r="Q20">
        <v>45</v>
      </c>
      <c r="R20">
        <v>7.56</v>
      </c>
      <c r="S20">
        <f t="shared" si="1"/>
        <v>-2.0000000000000462E-2</v>
      </c>
      <c r="U20">
        <v>14</v>
      </c>
      <c r="V20">
        <v>0.30599999999999999</v>
      </c>
      <c r="W20">
        <v>1E-3</v>
      </c>
    </row>
    <row r="21" spans="13:23" x14ac:dyDescent="0.2">
      <c r="M21">
        <v>8</v>
      </c>
      <c r="N21">
        <v>8.2899999999999991</v>
      </c>
      <c r="O21">
        <f t="shared" si="0"/>
        <v>0.70999999999999908</v>
      </c>
      <c r="Q21">
        <v>50</v>
      </c>
      <c r="R21">
        <v>7.56</v>
      </c>
      <c r="S21">
        <f t="shared" si="1"/>
        <v>-2.0000000000000462E-2</v>
      </c>
      <c r="U21">
        <v>15</v>
      </c>
      <c r="V21">
        <v>0.308</v>
      </c>
      <c r="W21">
        <v>1E-3</v>
      </c>
    </row>
    <row r="22" spans="13:23" x14ac:dyDescent="0.2">
      <c r="M22">
        <v>7</v>
      </c>
      <c r="N22">
        <v>8.41</v>
      </c>
      <c r="O22">
        <f t="shared" si="0"/>
        <v>0.83000000000000007</v>
      </c>
      <c r="Q22">
        <v>60</v>
      </c>
      <c r="R22">
        <v>7.56</v>
      </c>
      <c r="S22">
        <f t="shared" si="1"/>
        <v>-2.0000000000000462E-2</v>
      </c>
    </row>
    <row r="23" spans="13:23" x14ac:dyDescent="0.2">
      <c r="M23">
        <v>6</v>
      </c>
      <c r="N23">
        <v>8.52</v>
      </c>
      <c r="O23">
        <f t="shared" si="0"/>
        <v>0.9399999999999995</v>
      </c>
      <c r="Q23">
        <v>75</v>
      </c>
      <c r="R23">
        <v>7.57</v>
      </c>
      <c r="S23">
        <f t="shared" si="1"/>
        <v>-9.9999999999997868E-3</v>
      </c>
    </row>
    <row r="24" spans="13:23" x14ac:dyDescent="0.2">
      <c r="M24">
        <v>5</v>
      </c>
      <c r="N24">
        <v>8.64</v>
      </c>
      <c r="O24">
        <f t="shared" si="0"/>
        <v>1.0600000000000005</v>
      </c>
      <c r="Q24">
        <v>80</v>
      </c>
      <c r="R24">
        <v>7.57</v>
      </c>
      <c r="S24">
        <f t="shared" si="1"/>
        <v>-9.9999999999997868E-3</v>
      </c>
    </row>
    <row r="25" spans="13:23" x14ac:dyDescent="0.2">
      <c r="M25">
        <v>4</v>
      </c>
      <c r="N25">
        <v>8.8000000000000007</v>
      </c>
      <c r="O25">
        <f t="shared" si="0"/>
        <v>1.2200000000000006</v>
      </c>
      <c r="Q25">
        <v>100</v>
      </c>
      <c r="R25">
        <v>7.58</v>
      </c>
      <c r="S25">
        <f t="shared" si="1"/>
        <v>0</v>
      </c>
    </row>
    <row r="26" spans="13:23" x14ac:dyDescent="0.2">
      <c r="Q26">
        <v>110</v>
      </c>
      <c r="R26">
        <v>7.58</v>
      </c>
      <c r="S26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Sheydorov</dc:creator>
  <cp:lastModifiedBy>Vlad Sheydorov</cp:lastModifiedBy>
  <dcterms:created xsi:type="dcterms:W3CDTF">2026-03-23T13:20:47Z</dcterms:created>
  <dcterms:modified xsi:type="dcterms:W3CDTF">2026-04-04T12:44:58Z</dcterms:modified>
</cp:coreProperties>
</file>